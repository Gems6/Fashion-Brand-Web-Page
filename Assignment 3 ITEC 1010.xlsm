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0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ezealorsylviammesoma/Desktop/ITEC 1010/"/>
    </mc:Choice>
  </mc:AlternateContent>
  <xr:revisionPtr revIDLastSave="0" documentId="8_{0092A563-1564-5543-B17F-28C36720E297}" xr6:coauthVersionLast="47" xr6:coauthVersionMax="47" xr10:uidLastSave="{00000000-0000-0000-0000-000000000000}"/>
  <bookViews>
    <workbookView xWindow="480" yWindow="500" windowWidth="28800" windowHeight="16600" xr2:uid="{FE5FB49C-9196-514F-89A1-9F41CF6BCB0A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8" i="1" l="1"/>
  <c r="J3" i="1"/>
  <c r="K14" i="1" s="1"/>
  <c r="J6" i="1"/>
  <c r="K6" i="1" s="1"/>
  <c r="E27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F28" i="1"/>
  <c r="G28" i="1"/>
  <c r="H28" i="1"/>
  <c r="I28" i="1"/>
  <c r="F27" i="1"/>
  <c r="G27" i="1"/>
  <c r="H27" i="1"/>
  <c r="I27" i="1"/>
  <c r="K10" i="1" l="1"/>
  <c r="K9" i="1"/>
  <c r="K8" i="1"/>
  <c r="K7" i="1"/>
  <c r="K15" i="1"/>
  <c r="K19" i="1"/>
  <c r="K11" i="1"/>
  <c r="K24" i="1"/>
  <c r="K16" i="1"/>
  <c r="K22" i="1"/>
  <c r="K21" i="1"/>
  <c r="K13" i="1"/>
  <c r="K20" i="1"/>
  <c r="K12" i="1"/>
  <c r="K18" i="1"/>
  <c r="K25" i="1"/>
  <c r="K17" i="1"/>
  <c r="K23" i="1"/>
</calcChain>
</file>

<file path=xl/sharedStrings.xml><?xml version="1.0" encoding="utf-8"?>
<sst xmlns="http://schemas.openxmlformats.org/spreadsheetml/2006/main" count="55" uniqueCount="37">
  <si>
    <t>MATHEMATICS</t>
  </si>
  <si>
    <t>STUDENT NAME</t>
  </si>
  <si>
    <t>D.O.B</t>
  </si>
  <si>
    <t>SERIAL NO.</t>
  </si>
  <si>
    <t>GENDER</t>
  </si>
  <si>
    <t>TEST 1</t>
  </si>
  <si>
    <t>TEST 2</t>
  </si>
  <si>
    <t>TEST 3</t>
  </si>
  <si>
    <t>TEST 4</t>
  </si>
  <si>
    <t>SYLVIA EZEALOR</t>
  </si>
  <si>
    <t>ELLA EZEALOR</t>
  </si>
  <si>
    <t>KAMSY EZEJI</t>
  </si>
  <si>
    <t>SERENA JULIANNA</t>
  </si>
  <si>
    <t>EMMANUEL WOLF</t>
  </si>
  <si>
    <t>SAMUEL HILLS</t>
  </si>
  <si>
    <t>OBINNA BOTTLES</t>
  </si>
  <si>
    <t>KENDALL SCOTT</t>
  </si>
  <si>
    <t>JANE WEST</t>
  </si>
  <si>
    <t xml:space="preserve">KAREN SIMMS </t>
  </si>
  <si>
    <t>JAREN GRIFF</t>
  </si>
  <si>
    <t>PRISCA PEACE</t>
  </si>
  <si>
    <t>GREGORY ROSS</t>
  </si>
  <si>
    <t xml:space="preserve">STEPHEN GRIMES </t>
  </si>
  <si>
    <t xml:space="preserve">VIDA JENNER </t>
  </si>
  <si>
    <t>F</t>
  </si>
  <si>
    <t>M</t>
  </si>
  <si>
    <t xml:space="preserve">JORDAN BAKER </t>
  </si>
  <si>
    <t xml:space="preserve">JAMES PARSON </t>
  </si>
  <si>
    <t xml:space="preserve">MARK NICHOLSON </t>
  </si>
  <si>
    <t xml:space="preserve">AMY HANSEN </t>
  </si>
  <si>
    <t xml:space="preserve">JENNIFER DAVIS </t>
  </si>
  <si>
    <t>EXAM</t>
  </si>
  <si>
    <t xml:space="preserve">%GRADE </t>
  </si>
  <si>
    <t>TEST TOTAL</t>
  </si>
  <si>
    <t>TEST AVERAGE</t>
  </si>
  <si>
    <t>STUDENT TOTAL</t>
  </si>
  <si>
    <t>MAX SCORES: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</si>
</sst>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;@"/>
  </numFmts>
  <fonts count="5">
    <font>
      <sz val="12"/>
      <color theme="1"/>
      <name val="Calibri"/>
      <family val="2"/>
      <scheme val="minor"/>
    </font>
    <font>
      <sz val="12"/>
      <color theme="1"/>
      <name val="Lucida Fax Regular"/>
    </font>
    <font>
      <sz val="11"/>
      <color theme="1"/>
      <name val="Lucida Fax Regular"/>
    </font>
    <font>
      <sz val="14"/>
      <color theme="1"/>
      <name val="Times New Roman"/>
      <family val="1"/>
    </font>
    <font>
      <b/>
      <sz val="16"/>
      <color theme="1"/>
      <name val="Apple Braille Outline 6 Dot"/>
    </font>
  </fonts>
  <fills count="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1" xfId="0" applyFont="1" applyBorder="1"/>
    <xf numFmtId="0" fontId="0" fillId="0" borderId="1" xfId="0" applyBorder="1" applyAlignment="1">
      <alignment horizontal="center"/>
    </xf>
    <xf numFmtId="0" fontId="2" fillId="0" borderId="1" xfId="0" applyFont="1" applyBorder="1"/>
    <xf numFmtId="164" fontId="0" fillId="0" borderId="1" xfId="0" applyNumberFormat="1" applyBorder="1"/>
    <xf numFmtId="0" fontId="0" fillId="0" borderId="1" xfId="0" applyBorder="1"/>
    <xf numFmtId="0" fontId="4" fillId="0" borderId="1" xfId="0" applyFont="1" applyBorder="1" applyAlignment="1">
      <alignment horizontal="center"/>
    </xf>
    <xf numFmtId="2" fontId="0" fillId="2" borderId="1" xfId="0" applyNumberFormat="1" applyFill="1" applyBorder="1"/>
    <xf numFmtId="10" fontId="0" fillId="2" borderId="1" xfId="0" applyNumberFormat="1" applyFill="1" applyBorder="1"/>
    <xf numFmtId="0" fontId="1" fillId="0" borderId="1" xfId="0" applyFont="1" applyBorder="1"/>
    <xf numFmtId="2" fontId="0" fillId="3" borderId="1" xfId="0" applyNumberFormat="1" applyFill="1" applyBorder="1"/>
    <xf numFmtId="0" fontId="0" fillId="3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Student</a:t>
            </a:r>
            <a:r>
              <a:rPr lang="en-GB" baseline="0"/>
              <a:t>'s percentage grades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G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Sheet1!$B$6:$B$25</c:f>
              <c:strCache>
                <c:ptCount val="20"/>
                <c:pt idx="0">
                  <c:v>SYLVIA EZEALOR</c:v>
                </c:pt>
                <c:pt idx="1">
                  <c:v>ELLA EZEALOR</c:v>
                </c:pt>
                <c:pt idx="2">
                  <c:v>KAMSY EZEJI</c:v>
                </c:pt>
                <c:pt idx="3">
                  <c:v>SERENA JULIANNA</c:v>
                </c:pt>
                <c:pt idx="4">
                  <c:v>EMMANUEL WOLF</c:v>
                </c:pt>
                <c:pt idx="5">
                  <c:v>SAMUEL HILLS</c:v>
                </c:pt>
                <c:pt idx="6">
                  <c:v>OBINNA BOTTLES</c:v>
                </c:pt>
                <c:pt idx="7">
                  <c:v>KENDALL SCOTT</c:v>
                </c:pt>
                <c:pt idx="8">
                  <c:v>JANE WEST</c:v>
                </c:pt>
                <c:pt idx="9">
                  <c:v>KAREN SIMMS </c:v>
                </c:pt>
                <c:pt idx="10">
                  <c:v>JAREN GRIFF</c:v>
                </c:pt>
                <c:pt idx="11">
                  <c:v>JORDAN BAKER </c:v>
                </c:pt>
                <c:pt idx="12">
                  <c:v>PRISCA PEACE</c:v>
                </c:pt>
                <c:pt idx="13">
                  <c:v>JAMES PARSON </c:v>
                </c:pt>
                <c:pt idx="14">
                  <c:v>MARK NICHOLSON </c:v>
                </c:pt>
                <c:pt idx="15">
                  <c:v>GREGORY ROSS</c:v>
                </c:pt>
                <c:pt idx="16">
                  <c:v>AMY HANSEN </c:v>
                </c:pt>
                <c:pt idx="17">
                  <c:v>JENNIFER DAVIS </c:v>
                </c:pt>
                <c:pt idx="18">
                  <c:v>STEPHEN GRIMES </c:v>
                </c:pt>
                <c:pt idx="19">
                  <c:v>VIDA JENNER </c:v>
                </c:pt>
              </c:strCache>
            </c:strRef>
          </c:cat>
          <c:val>
            <c:numRef>
              <c:f>Sheet1!$K$6:$K$25</c:f>
              <c:numCache>
                <c:formatCode>0.00%</c:formatCode>
                <c:ptCount val="20"/>
                <c:pt idx="0">
                  <c:v>0.72857142857142854</c:v>
                </c:pt>
                <c:pt idx="1">
                  <c:v>0.68214285714285716</c:v>
                </c:pt>
                <c:pt idx="2">
                  <c:v>0.6071428571428571</c:v>
                </c:pt>
                <c:pt idx="3">
                  <c:v>0.8928571428571429</c:v>
                </c:pt>
                <c:pt idx="4">
                  <c:v>0.83214285714285718</c:v>
                </c:pt>
                <c:pt idx="5">
                  <c:v>0.60928571428571432</c:v>
                </c:pt>
                <c:pt idx="6">
                  <c:v>0.58357142857142863</c:v>
                </c:pt>
                <c:pt idx="7">
                  <c:v>0.6</c:v>
                </c:pt>
                <c:pt idx="8">
                  <c:v>0.60928571428571432</c:v>
                </c:pt>
                <c:pt idx="9">
                  <c:v>0.82499999999999996</c:v>
                </c:pt>
                <c:pt idx="10">
                  <c:v>0.76928571428571435</c:v>
                </c:pt>
                <c:pt idx="11">
                  <c:v>0.80642857142857149</c:v>
                </c:pt>
                <c:pt idx="12">
                  <c:v>0.50571428571428567</c:v>
                </c:pt>
                <c:pt idx="13">
                  <c:v>0.76</c:v>
                </c:pt>
                <c:pt idx="14">
                  <c:v>0.76207142857142851</c:v>
                </c:pt>
                <c:pt idx="15">
                  <c:v>0.76714285714285724</c:v>
                </c:pt>
                <c:pt idx="16">
                  <c:v>0.8264285714285714</c:v>
                </c:pt>
                <c:pt idx="17">
                  <c:v>0.84285714285714286</c:v>
                </c:pt>
                <c:pt idx="18">
                  <c:v>0.81357142857142861</c:v>
                </c:pt>
                <c:pt idx="19">
                  <c:v>0.64428571428571435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96-2647-B6C4-0BE9A85BC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83280607"/>
        <c:axId val="1183785599"/>
      </c:barChart>
      <c:catAx>
        <c:axId val="11832806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  <c:crossAx val="1183785599"/>
        <c:crosses val="autoZero"/>
        <c:auto val="1"/>
        <c:lblAlgn val="ctr"/>
        <c:lblOffset val="100"/>
        <c:noMultiLvlLbl val="0"/>
      </c:catAx>
      <c:valAx>
        <c:axId val="11837855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  <c:crossAx val="11832806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1193800</xdr:colOff>
      <xdr:row>31</xdr:row>
      <xdr:rowOff>12700</xdr:rowOff>
    </xdr:from>
    <xdr:to>
      <xdr:col>9</xdr:col>
      <xdr:colOff>1092200</xdr:colOff>
      <xdr:row>48</xdr:row>
      <xdr:rowOff>177800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37DCB10-090B-7979-C88B-7278AC20DE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34B0D-CEF3-C846-93E4-8E563445DB82}">
  <dimension ref="A1:O28"/>
  <sheetViews>
    <sheetView tabSelected="1" workbookViewId="0">
      <selection activeCell="L41" sqref="L41"/>
    </sheetView>
  </sheetViews>
  <sheetFormatPr baseColWidth="10" defaultRowHeight="16"/>
  <cols>
    <col min="1" max="1" width="13.6640625" style="1" customWidth="1"/>
    <col min="2" max="2" width="22.6640625" customWidth="1"/>
    <col min="3" max="3" width="10.83203125" customWidth="1"/>
    <col min="4" max="4" width="15" customWidth="1"/>
    <col min="5" max="5" width="11.5" customWidth="1"/>
    <col min="8" max="8" width="12.1640625" customWidth="1"/>
    <col min="10" max="10" width="20.5" customWidth="1"/>
    <col min="11" max="11" width="16.33203125" customWidth="1"/>
  </cols>
  <sheetData>
    <row r="1" spans="1:15" ht="18">
      <c r="A1" s="16" t="s">
        <v>0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</row>
    <row r="2" spans="1:15" ht="18">
      <c r="A2" s="2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</row>
    <row r="3" spans="1:15" ht="18">
      <c r="A3" s="9"/>
      <c r="B3" s="5" t="s">
        <v>36</v>
      </c>
      <c r="C3" s="5"/>
      <c r="D3" s="5"/>
      <c r="E3" s="14">
        <v>20</v>
      </c>
      <c r="F3" s="14">
        <v>20</v>
      </c>
      <c r="G3" s="14">
        <v>20</v>
      </c>
      <c r="H3" s="14">
        <v>20</v>
      </c>
      <c r="I3" s="14">
        <v>60</v>
      </c>
      <c r="J3" s="15">
        <f>SUM(E3:I3)</f>
        <v>140</v>
      </c>
      <c r="K3" s="5"/>
      <c r="L3" s="1"/>
      <c r="M3" s="1"/>
      <c r="N3" s="1"/>
      <c r="O3" s="1"/>
    </row>
    <row r="4" spans="1:15" ht="18">
      <c r="A4" s="2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</row>
    <row r="5" spans="1:15" ht="18">
      <c r="A5" s="3" t="s">
        <v>3</v>
      </c>
      <c r="B5" s="4" t="s">
        <v>1</v>
      </c>
      <c r="C5" s="4" t="s">
        <v>4</v>
      </c>
      <c r="D5" s="4" t="s">
        <v>2</v>
      </c>
      <c r="E5" s="4" t="s">
        <v>5</v>
      </c>
      <c r="F5" s="4" t="s">
        <v>6</v>
      </c>
      <c r="G5" s="4" t="s">
        <v>7</v>
      </c>
      <c r="H5" s="4" t="s">
        <v>8</v>
      </c>
      <c r="I5" s="12" t="s">
        <v>31</v>
      </c>
      <c r="J5" s="4" t="s">
        <v>35</v>
      </c>
      <c r="K5" s="4" t="s">
        <v>32</v>
      </c>
    </row>
    <row r="6" spans="1:15">
      <c r="A6" s="5">
        <v>1</v>
      </c>
      <c r="B6" s="6" t="s">
        <v>9</v>
      </c>
      <c r="C6" s="5" t="s">
        <v>24</v>
      </c>
      <c r="D6" s="7">
        <v>38218</v>
      </c>
      <c r="E6" s="13">
        <v>19</v>
      </c>
      <c r="F6" s="13">
        <v>13</v>
      </c>
      <c r="G6" s="13">
        <v>17</v>
      </c>
      <c r="H6" s="13">
        <v>8</v>
      </c>
      <c r="I6" s="13">
        <v>45</v>
      </c>
      <c r="J6" s="10">
        <f>(E6+F6+G6+H6+I6)</f>
        <v>102</v>
      </c>
      <c r="K6" s="11">
        <f>J6/$J$3</f>
        <v>0.72857142857142854</v>
      </c>
    </row>
    <row r="7" spans="1:15">
      <c r="A7" s="5">
        <v>2</v>
      </c>
      <c r="B7" s="6" t="s">
        <v>10</v>
      </c>
      <c r="C7" s="5" t="s">
        <v>24</v>
      </c>
      <c r="D7" s="7">
        <v>38642</v>
      </c>
      <c r="E7" s="13">
        <v>10</v>
      </c>
      <c r="F7" s="13">
        <v>14.5</v>
      </c>
      <c r="G7" s="13">
        <v>11</v>
      </c>
      <c r="H7" s="13">
        <v>10</v>
      </c>
      <c r="I7" s="13">
        <v>50</v>
      </c>
      <c r="J7" s="10">
        <f t="shared" ref="J7:J25" si="0">(E7+F7+G7+H7+I7)</f>
        <v>95.5</v>
      </c>
      <c r="K7" s="11">
        <f t="shared" ref="K7:K25" si="1">J7/$J$3</f>
        <v>0.68214285714285716</v>
      </c>
    </row>
    <row r="8" spans="1:15">
      <c r="A8" s="5">
        <v>3</v>
      </c>
      <c r="B8" s="6" t="s">
        <v>11</v>
      </c>
      <c r="C8" s="5" t="s">
        <v>25</v>
      </c>
      <c r="D8" s="7">
        <v>38366</v>
      </c>
      <c r="E8" s="13">
        <v>12</v>
      </c>
      <c r="F8" s="13">
        <v>15</v>
      </c>
      <c r="G8" s="13">
        <v>12</v>
      </c>
      <c r="H8" s="13">
        <v>13</v>
      </c>
      <c r="I8" s="13">
        <v>33</v>
      </c>
      <c r="J8" s="10">
        <f t="shared" si="0"/>
        <v>85</v>
      </c>
      <c r="K8" s="11">
        <f t="shared" si="1"/>
        <v>0.6071428571428571</v>
      </c>
    </row>
    <row r="9" spans="1:15">
      <c r="A9" s="5">
        <v>4</v>
      </c>
      <c r="B9" s="6" t="s">
        <v>12</v>
      </c>
      <c r="C9" s="5" t="s">
        <v>24</v>
      </c>
      <c r="D9" s="7">
        <v>38059</v>
      </c>
      <c r="E9" s="13">
        <v>19.5</v>
      </c>
      <c r="F9" s="13">
        <v>17.5</v>
      </c>
      <c r="G9" s="13">
        <v>14</v>
      </c>
      <c r="H9" s="13">
        <v>18</v>
      </c>
      <c r="I9" s="13">
        <v>56</v>
      </c>
      <c r="J9" s="10">
        <f t="shared" si="0"/>
        <v>125</v>
      </c>
      <c r="K9" s="11">
        <f t="shared" si="1"/>
        <v>0.8928571428571429</v>
      </c>
    </row>
    <row r="10" spans="1:15">
      <c r="A10" s="5">
        <v>5</v>
      </c>
      <c r="B10" s="6" t="s">
        <v>13</v>
      </c>
      <c r="C10" s="5" t="s">
        <v>25</v>
      </c>
      <c r="D10" s="7">
        <v>37997</v>
      </c>
      <c r="E10" s="13">
        <v>15</v>
      </c>
      <c r="F10" s="13">
        <v>16</v>
      </c>
      <c r="G10" s="13">
        <v>16</v>
      </c>
      <c r="H10" s="13">
        <v>10</v>
      </c>
      <c r="I10" s="13">
        <v>59.5</v>
      </c>
      <c r="J10" s="10">
        <f t="shared" si="0"/>
        <v>116.5</v>
      </c>
      <c r="K10" s="11">
        <f t="shared" si="1"/>
        <v>0.83214285714285718</v>
      </c>
    </row>
    <row r="11" spans="1:15">
      <c r="A11" s="5">
        <v>6</v>
      </c>
      <c r="B11" s="6" t="s">
        <v>14</v>
      </c>
      <c r="C11" s="5" t="s">
        <v>25</v>
      </c>
      <c r="D11" s="7">
        <v>38389</v>
      </c>
      <c r="E11" s="13">
        <v>16</v>
      </c>
      <c r="F11" s="13">
        <v>15.8</v>
      </c>
      <c r="G11" s="13">
        <v>19</v>
      </c>
      <c r="H11" s="13">
        <v>5.5</v>
      </c>
      <c r="I11" s="13">
        <v>29</v>
      </c>
      <c r="J11" s="10">
        <f t="shared" si="0"/>
        <v>85.3</v>
      </c>
      <c r="K11" s="11">
        <f t="shared" si="1"/>
        <v>0.60928571428571432</v>
      </c>
    </row>
    <row r="12" spans="1:15">
      <c r="A12" s="5">
        <v>7</v>
      </c>
      <c r="B12" s="6" t="s">
        <v>15</v>
      </c>
      <c r="C12" s="5" t="s">
        <v>25</v>
      </c>
      <c r="D12" s="7">
        <v>38447</v>
      </c>
      <c r="E12" s="13">
        <v>13</v>
      </c>
      <c r="F12" s="13">
        <v>17</v>
      </c>
      <c r="G12" s="13">
        <v>10.9</v>
      </c>
      <c r="H12" s="13">
        <v>10.8</v>
      </c>
      <c r="I12" s="13">
        <v>30</v>
      </c>
      <c r="J12" s="10">
        <f t="shared" si="0"/>
        <v>81.7</v>
      </c>
      <c r="K12" s="11">
        <f t="shared" si="1"/>
        <v>0.58357142857142863</v>
      </c>
    </row>
    <row r="13" spans="1:15">
      <c r="A13" s="5">
        <v>8</v>
      </c>
      <c r="B13" s="6" t="s">
        <v>16</v>
      </c>
      <c r="C13" s="5" t="s">
        <v>24</v>
      </c>
      <c r="D13" s="7">
        <v>38551</v>
      </c>
      <c r="E13" s="13">
        <v>11</v>
      </c>
      <c r="F13" s="13">
        <v>20</v>
      </c>
      <c r="G13" s="13">
        <v>6.5</v>
      </c>
      <c r="H13" s="13">
        <v>12.5</v>
      </c>
      <c r="I13" s="13">
        <v>34</v>
      </c>
      <c r="J13" s="10">
        <f t="shared" si="0"/>
        <v>84</v>
      </c>
      <c r="K13" s="11">
        <f t="shared" si="1"/>
        <v>0.6</v>
      </c>
    </row>
    <row r="14" spans="1:15">
      <c r="A14" s="5">
        <v>9</v>
      </c>
      <c r="B14" s="6" t="s">
        <v>17</v>
      </c>
      <c r="C14" s="5" t="s">
        <v>24</v>
      </c>
      <c r="D14" s="7">
        <v>38087</v>
      </c>
      <c r="E14" s="13">
        <v>10</v>
      </c>
      <c r="F14" s="13">
        <v>9.1</v>
      </c>
      <c r="G14" s="13">
        <v>9.6999999999999993</v>
      </c>
      <c r="H14" s="13">
        <v>15.5</v>
      </c>
      <c r="I14" s="13">
        <v>41</v>
      </c>
      <c r="J14" s="10">
        <f t="shared" si="0"/>
        <v>85.3</v>
      </c>
      <c r="K14" s="11">
        <f t="shared" si="1"/>
        <v>0.60928571428571432</v>
      </c>
    </row>
    <row r="15" spans="1:15">
      <c r="A15" s="5">
        <v>10</v>
      </c>
      <c r="B15" s="6" t="s">
        <v>18</v>
      </c>
      <c r="C15" s="5" t="s">
        <v>24</v>
      </c>
      <c r="D15" s="7">
        <v>38018</v>
      </c>
      <c r="E15" s="13">
        <v>20</v>
      </c>
      <c r="F15" s="13">
        <v>17.5</v>
      </c>
      <c r="G15" s="13">
        <v>11</v>
      </c>
      <c r="H15" s="13">
        <v>19</v>
      </c>
      <c r="I15" s="13">
        <v>48</v>
      </c>
      <c r="J15" s="10">
        <f t="shared" si="0"/>
        <v>115.5</v>
      </c>
      <c r="K15" s="11">
        <f t="shared" si="1"/>
        <v>0.82499999999999996</v>
      </c>
    </row>
    <row r="16" spans="1:15">
      <c r="A16" s="5">
        <v>11</v>
      </c>
      <c r="B16" s="6" t="s">
        <v>19</v>
      </c>
      <c r="C16" s="5" t="s">
        <v>25</v>
      </c>
      <c r="D16" s="7">
        <v>38578</v>
      </c>
      <c r="E16" s="13">
        <v>8</v>
      </c>
      <c r="F16" s="13">
        <v>14.8</v>
      </c>
      <c r="G16" s="13">
        <v>16.899999999999999</v>
      </c>
      <c r="H16" s="13">
        <v>17</v>
      </c>
      <c r="I16" s="13">
        <v>51</v>
      </c>
      <c r="J16" s="10">
        <f t="shared" si="0"/>
        <v>107.7</v>
      </c>
      <c r="K16" s="11">
        <f t="shared" si="1"/>
        <v>0.76928571428571435</v>
      </c>
    </row>
    <row r="17" spans="1:11">
      <c r="A17" s="5">
        <v>12</v>
      </c>
      <c r="B17" s="6" t="s">
        <v>26</v>
      </c>
      <c r="C17" s="5" t="s">
        <v>25</v>
      </c>
      <c r="D17" s="7">
        <v>38575</v>
      </c>
      <c r="E17" s="13">
        <v>12</v>
      </c>
      <c r="F17" s="13">
        <v>9.6999999999999993</v>
      </c>
      <c r="G17" s="13">
        <v>17</v>
      </c>
      <c r="H17" s="13">
        <v>19.2</v>
      </c>
      <c r="I17" s="13">
        <v>55</v>
      </c>
      <c r="J17" s="10">
        <f t="shared" si="0"/>
        <v>112.9</v>
      </c>
      <c r="K17" s="11">
        <f t="shared" si="1"/>
        <v>0.80642857142857149</v>
      </c>
    </row>
    <row r="18" spans="1:11">
      <c r="A18" s="5">
        <v>13</v>
      </c>
      <c r="B18" s="6" t="s">
        <v>20</v>
      </c>
      <c r="C18" s="5" t="s">
        <v>24</v>
      </c>
      <c r="D18" s="7">
        <v>38576</v>
      </c>
      <c r="E18" s="13">
        <v>14</v>
      </c>
      <c r="F18" s="13">
        <v>6.8</v>
      </c>
      <c r="G18" s="13">
        <v>19</v>
      </c>
      <c r="H18" s="13">
        <v>12</v>
      </c>
      <c r="I18" s="13">
        <v>19</v>
      </c>
      <c r="J18" s="10">
        <f t="shared" si="0"/>
        <v>70.8</v>
      </c>
      <c r="K18" s="11">
        <f t="shared" si="1"/>
        <v>0.50571428571428567</v>
      </c>
    </row>
    <row r="19" spans="1:11">
      <c r="A19" s="5">
        <v>14</v>
      </c>
      <c r="B19" s="6" t="s">
        <v>27</v>
      </c>
      <c r="C19" s="5" t="s">
        <v>25</v>
      </c>
      <c r="D19" s="7">
        <v>38202</v>
      </c>
      <c r="E19" s="13">
        <v>5.9</v>
      </c>
      <c r="F19" s="13">
        <v>19.5</v>
      </c>
      <c r="G19" s="13">
        <v>20</v>
      </c>
      <c r="H19" s="13">
        <v>13</v>
      </c>
      <c r="I19" s="13">
        <v>48</v>
      </c>
      <c r="J19" s="10">
        <f t="shared" si="0"/>
        <v>106.4</v>
      </c>
      <c r="K19" s="11">
        <f t="shared" si="1"/>
        <v>0.76</v>
      </c>
    </row>
    <row r="20" spans="1:11">
      <c r="A20" s="5">
        <v>15</v>
      </c>
      <c r="B20" s="6" t="s">
        <v>28</v>
      </c>
      <c r="C20" s="5" t="s">
        <v>25</v>
      </c>
      <c r="D20" s="7">
        <v>38201</v>
      </c>
      <c r="E20" s="13">
        <v>11</v>
      </c>
      <c r="F20" s="13">
        <v>5.69</v>
      </c>
      <c r="G20" s="13">
        <v>14</v>
      </c>
      <c r="H20" s="13">
        <v>18</v>
      </c>
      <c r="I20" s="13">
        <v>58</v>
      </c>
      <c r="J20" s="10">
        <f t="shared" si="0"/>
        <v>106.69</v>
      </c>
      <c r="K20" s="11">
        <f t="shared" si="1"/>
        <v>0.76207142857142851</v>
      </c>
    </row>
    <row r="21" spans="1:11">
      <c r="A21" s="5">
        <v>16</v>
      </c>
      <c r="B21" s="6" t="s">
        <v>21</v>
      </c>
      <c r="C21" s="5" t="s">
        <v>24</v>
      </c>
      <c r="D21" s="7">
        <v>38118</v>
      </c>
      <c r="E21" s="13">
        <v>14.5</v>
      </c>
      <c r="F21" s="13">
        <v>12.7</v>
      </c>
      <c r="G21" s="13">
        <v>13.7</v>
      </c>
      <c r="H21" s="13">
        <v>15.5</v>
      </c>
      <c r="I21" s="13">
        <v>51</v>
      </c>
      <c r="J21" s="10">
        <f t="shared" si="0"/>
        <v>107.4</v>
      </c>
      <c r="K21" s="11">
        <f t="shared" si="1"/>
        <v>0.76714285714285724</v>
      </c>
    </row>
    <row r="22" spans="1:11">
      <c r="A22" s="5">
        <v>17</v>
      </c>
      <c r="B22" s="6" t="s">
        <v>29</v>
      </c>
      <c r="C22" s="5" t="s">
        <v>25</v>
      </c>
      <c r="D22" s="7">
        <v>38430</v>
      </c>
      <c r="E22" s="13">
        <v>19</v>
      </c>
      <c r="F22" s="13">
        <v>11.7</v>
      </c>
      <c r="G22" s="13">
        <v>12</v>
      </c>
      <c r="H22" s="13">
        <v>16</v>
      </c>
      <c r="I22" s="13">
        <v>57</v>
      </c>
      <c r="J22" s="10">
        <f t="shared" si="0"/>
        <v>115.7</v>
      </c>
      <c r="K22" s="11">
        <f t="shared" si="1"/>
        <v>0.8264285714285714</v>
      </c>
    </row>
    <row r="23" spans="1:11">
      <c r="A23" s="5">
        <v>18</v>
      </c>
      <c r="B23" s="6" t="s">
        <v>30</v>
      </c>
      <c r="C23" s="5" t="s">
        <v>24</v>
      </c>
      <c r="D23" s="7">
        <v>38483</v>
      </c>
      <c r="E23" s="13">
        <v>18</v>
      </c>
      <c r="F23" s="13">
        <v>18</v>
      </c>
      <c r="G23" s="13">
        <v>19</v>
      </c>
      <c r="H23" s="13">
        <v>10</v>
      </c>
      <c r="I23" s="13">
        <v>53</v>
      </c>
      <c r="J23" s="10">
        <f t="shared" si="0"/>
        <v>118</v>
      </c>
      <c r="K23" s="11">
        <f t="shared" si="1"/>
        <v>0.84285714285714286</v>
      </c>
    </row>
    <row r="24" spans="1:11">
      <c r="A24" s="5">
        <v>19</v>
      </c>
      <c r="B24" s="6" t="s">
        <v>22</v>
      </c>
      <c r="C24" s="5" t="s">
        <v>25</v>
      </c>
      <c r="D24" s="7">
        <v>38448</v>
      </c>
      <c r="E24" s="13">
        <v>16</v>
      </c>
      <c r="F24" s="13">
        <v>17</v>
      </c>
      <c r="G24" s="13">
        <v>11.9</v>
      </c>
      <c r="H24" s="13">
        <v>20</v>
      </c>
      <c r="I24" s="13">
        <v>49</v>
      </c>
      <c r="J24" s="10">
        <f t="shared" si="0"/>
        <v>113.9</v>
      </c>
      <c r="K24" s="11">
        <f t="shared" si="1"/>
        <v>0.81357142857142861</v>
      </c>
    </row>
    <row r="25" spans="1:11">
      <c r="A25" s="5">
        <v>20</v>
      </c>
      <c r="B25" s="6" t="s">
        <v>23</v>
      </c>
      <c r="C25" s="5" t="s">
        <v>24</v>
      </c>
      <c r="D25" s="7">
        <v>37631</v>
      </c>
      <c r="E25" s="13">
        <v>12.5</v>
      </c>
      <c r="F25" s="13">
        <v>11</v>
      </c>
      <c r="G25" s="13">
        <v>10</v>
      </c>
      <c r="H25" s="13">
        <v>17</v>
      </c>
      <c r="I25" s="13">
        <v>39.700000000000003</v>
      </c>
      <c r="J25" s="10">
        <f t="shared" si="0"/>
        <v>90.2</v>
      </c>
      <c r="K25" s="11">
        <f t="shared" si="1"/>
        <v>0.64428571428571435</v>
      </c>
    </row>
    <row r="26" spans="1:11">
      <c r="A26" s="5"/>
      <c r="B26" s="8"/>
      <c r="C26" s="8"/>
      <c r="D26" s="8"/>
      <c r="E26" s="8"/>
      <c r="F26" s="8"/>
      <c r="G26" s="8"/>
      <c r="H26" s="8"/>
      <c r="I26" s="8"/>
      <c r="J26" s="8"/>
      <c r="K26" s="8"/>
    </row>
    <row r="27" spans="1:11">
      <c r="A27" s="5" t="s">
        <v>33</v>
      </c>
      <c r="B27" s="8"/>
      <c r="C27" s="8"/>
      <c r="D27" s="8"/>
      <c r="E27" s="10">
        <f>SUM(E6:E25)</f>
        <v>276.39999999999998</v>
      </c>
      <c r="F27" s="10">
        <f t="shared" ref="F27:I27" si="2">SUM(F6:F25)</f>
        <v>282.28999999999996</v>
      </c>
      <c r="G27" s="10">
        <f t="shared" si="2"/>
        <v>280.59999999999997</v>
      </c>
      <c r="H27" s="10">
        <f t="shared" si="2"/>
        <v>280</v>
      </c>
      <c r="I27" s="10">
        <f t="shared" si="2"/>
        <v>906.2</v>
      </c>
      <c r="J27" s="8"/>
      <c r="K27" s="8"/>
    </row>
    <row r="28" spans="1:11">
      <c r="A28" s="5" t="s">
        <v>34</v>
      </c>
      <c r="B28" s="8"/>
      <c r="C28" s="8"/>
      <c r="D28" s="8"/>
      <c r="E28" s="10">
        <f>AVERAGE(E6:E25)</f>
        <v>13.819999999999999</v>
      </c>
      <c r="F28" s="10">
        <f t="shared" ref="F28:I28" si="3">AVERAGE(F6:F25)</f>
        <v>14.114499999999998</v>
      </c>
      <c r="G28" s="10">
        <f t="shared" si="3"/>
        <v>14.029999999999998</v>
      </c>
      <c r="H28" s="10">
        <f t="shared" si="3"/>
        <v>14</v>
      </c>
      <c r="I28" s="10">
        <f t="shared" si="3"/>
        <v>45.31</v>
      </c>
      <c r="J28" s="8"/>
      <c r="K28" s="8"/>
    </row>
  </sheetData>
  <mergeCells count="1">
    <mergeCell ref="A1:O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Sylvia Ezealor</cp:lastModifiedBy>
  <dcterms:created xsi:type="dcterms:W3CDTF">2022-11-29T03:35:51Z</dcterms:created>
  <dcterms:modified xsi:type="dcterms:W3CDTF">2024-01-26T03:53:12Z</dcterms:modified>
</cp:coreProperties>
</file>